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fc218ddb159e27/Lunar Travel/Japan/"/>
    </mc:Choice>
  </mc:AlternateContent>
  <xr:revisionPtr revIDLastSave="295" documentId="8_{585AFAA8-3B07-49AC-B62A-5E5E48337CF6}" xr6:coauthVersionLast="47" xr6:coauthVersionMax="47" xr10:uidLastSave="{B27DB08B-3416-4C49-BE3B-9B9757EEAAB8}"/>
  <bookViews>
    <workbookView xWindow="-120" yWindow="-120" windowWidth="51840" windowHeight="21120" xr2:uid="{922A30FC-FD72-40C2-9C7E-4E51AB424CF2}"/>
  </bookViews>
  <sheets>
    <sheet name="Sheet1" sheetId="1" r:id="rId1"/>
  </sheets>
  <definedNames>
    <definedName name="_xlnm.Print_Area" localSheetId="0">Sheet1!$J$3:$L$25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21" i="1"/>
  <c r="L20" i="1"/>
  <c r="L19" i="1"/>
  <c r="L15" i="1"/>
  <c r="L22" i="1" s="1"/>
  <c r="L23" i="1" s="1"/>
  <c r="L24" i="1" s="1"/>
  <c r="L25" i="1" s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 wan</author>
  </authors>
  <commentList>
    <comment ref="K8" authorId="0" shapeId="0" xr:uid="{94E60D2D-2F59-4546-B1E3-4537349111FE}">
      <text>
        <r>
          <rPr>
            <sz val="11"/>
            <color theme="1"/>
            <rFont val="Calibri"/>
            <family val="2"/>
            <charset val="222"/>
            <scheme val="minor"/>
          </rPr>
          <t>mu wan:
อันนี้คือค่าเนื้อย่างที่ YAMAGATA ใช่มั๊ย</t>
        </r>
      </text>
    </comment>
  </commentList>
</comments>
</file>

<file path=xl/sharedStrings.xml><?xml version="1.0" encoding="utf-8"?>
<sst xmlns="http://schemas.openxmlformats.org/spreadsheetml/2006/main" count="102" uniqueCount="78">
  <si>
    <t>Date</t>
  </si>
  <si>
    <t>Time</t>
  </si>
  <si>
    <t>Description</t>
  </si>
  <si>
    <t>Place</t>
  </si>
  <si>
    <t>ราคารวม</t>
  </si>
  <si>
    <t>ค่าใช้จ่าย/คน</t>
  </si>
  <si>
    <t>เช้า</t>
  </si>
  <si>
    <t>0955-1730</t>
  </si>
  <si>
    <t>BKK-HND</t>
  </si>
  <si>
    <t>JL32</t>
  </si>
  <si>
    <t>บ่าย</t>
  </si>
  <si>
    <r>
      <t xml:space="preserve">นั่งบัส แล้วไปต่อ metro สถานี Toyosu ลงที่ </t>
    </r>
    <r>
      <rPr>
        <b/>
        <sz val="11"/>
        <color theme="1"/>
        <rFont val="Calibri"/>
        <family val="2"/>
        <scheme val="minor"/>
      </rPr>
      <t>Ginza-itchome</t>
    </r>
    <r>
      <rPr>
        <sz val="11"/>
        <color theme="1"/>
        <rFont val="Calibri"/>
        <family val="2"/>
        <scheme val="minor"/>
      </rPr>
      <t xml:space="preserve"> -walk </t>
    </r>
  </si>
  <si>
    <t>หรือไปลง Tokyo sta แล้วเดิน 15 นาที</t>
  </si>
  <si>
    <t>โรงแรม</t>
  </si>
  <si>
    <t>รับ  JR East-South Hokkaido Rail Pass</t>
  </si>
  <si>
    <t>KOKO</t>
  </si>
  <si>
    <t>KOKO HOTEL Ginza-1chome ( KOKO HOTEL 銀座一丁目 )</t>
  </si>
  <si>
    <t>booking</t>
  </si>
  <si>
    <t>Tokyo</t>
  </si>
  <si>
    <t>Zao (2 คืน)</t>
  </si>
  <si>
    <t>เดินทางไป Zao Resort</t>
  </si>
  <si>
    <t>Hotel Mertopolitan</t>
  </si>
  <si>
    <t>08.08-11.04</t>
  </si>
  <si>
    <t xml:space="preserve">Train from Tokyo to Yamagata </t>
  </si>
  <si>
    <t>3 hrs.</t>
  </si>
  <si>
    <t xml:space="preserve"> JR East-South Hokkaido Rail Pass</t>
  </si>
  <si>
    <t>อาหาร</t>
  </si>
  <si>
    <t>11.26-12.01</t>
  </si>
  <si>
    <t>bus to Zao Onsen Ski Resort</t>
  </si>
  <si>
    <t>40 mins.</t>
  </si>
  <si>
    <t>จากสถานีรถไฟ</t>
  </si>
  <si>
    <t>Yamagata</t>
  </si>
  <si>
    <t>เดินจาก Zao Onsen bus station to Ryokan ประมาณ 6  นาที ดูจาก booking.com</t>
  </si>
  <si>
    <t>เทมปุระ@Shibuya</t>
  </si>
  <si>
    <t>Onsen ใน Ryokan พักผ่อนตามอัธยาศัย</t>
  </si>
  <si>
    <t>(1)</t>
  </si>
  <si>
    <t xml:space="preserve">Takamiya Ryokan Miyamaso </t>
  </si>
  <si>
    <t>Zao Onsen</t>
  </si>
  <si>
    <t>23702 บาท</t>
  </si>
  <si>
    <t>Zao Onsen, Skiing, Cable Car to Snow Monsters</t>
  </si>
  <si>
    <t xml:space="preserve">คนละ </t>
  </si>
  <si>
    <t>เย็น</t>
  </si>
  <si>
    <t>Night Lights</t>
  </si>
  <si>
    <t>Ginzan Onsen Hotel</t>
  </si>
  <si>
    <t>Miyamaso</t>
  </si>
  <si>
    <t>Yamagata City</t>
  </si>
  <si>
    <t>Takaragawa</t>
  </si>
  <si>
    <t xml:space="preserve">Bus from Zao Onsen to Yamagata </t>
  </si>
  <si>
    <t>Yamagata city – Yamagata Castle and Kajo Park,</t>
  </si>
  <si>
    <t>Taxi Ginzan</t>
  </si>
  <si>
    <t>Hotel Metropolitan Yamagata</t>
  </si>
  <si>
    <t>6700 บาท</t>
  </si>
  <si>
    <t>CAFE PAULISTA</t>
  </si>
  <si>
    <t>Ginzan Onsen</t>
  </si>
  <si>
    <t>ZAo ROPEWAY</t>
  </si>
  <si>
    <t>Yamadera – Risshaku-ji Temple</t>
  </si>
  <si>
    <t>(2)</t>
  </si>
  <si>
    <t>JR Yamagato - Oishida , bus Oishida - Ginzan Onsen</t>
  </si>
  <si>
    <t>(1)+(2)</t>
  </si>
  <si>
    <t>Ginzan Onsen , Waterfall , Nightlights</t>
  </si>
  <si>
    <t>หาร2</t>
  </si>
  <si>
    <t>Hatago itouya Ginzan</t>
  </si>
  <si>
    <t>Ginzan</t>
  </si>
  <si>
    <t>25600 เยน</t>
  </si>
  <si>
    <t>หมูต้องจ่ายเพิ่ม</t>
  </si>
  <si>
    <t>Ginzan then to Takaragawa</t>
  </si>
  <si>
    <t xml:space="preserve"> </t>
  </si>
  <si>
    <t>Bus from Ginzan - Oishida</t>
  </si>
  <si>
    <t>09:53 - 14:43</t>
  </si>
  <si>
    <t>Train from Oishida to  Yamagata to Jomokogen</t>
  </si>
  <si>
    <t>Free Shuttle but to Takaragawa Onsen</t>
  </si>
  <si>
    <t>Takaragawa Onsen</t>
  </si>
  <si>
    <t xml:space="preserve">Minakami </t>
  </si>
  <si>
    <t>รอขึ้นเครื่องที่สนามบิน HANEDA</t>
  </si>
  <si>
    <t>0005-0500</t>
  </si>
  <si>
    <t>HND-BKK</t>
  </si>
  <si>
    <t>JL33</t>
  </si>
  <si>
    <t>35000 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</si>
</sst>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1010000]d/m/yyyy;@"/>
    <numFmt numFmtId="165" formatCode="[$-1010000]d/m/yy;@"/>
    <numFmt numFmtId="166" formatCode="[$-1000409]h:mm\ AM/PM;@"/>
    <numFmt numFmtId="167" formatCode="[$¥-411]#,##0.00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4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/>
    </xf>
    <xf numFmtId="43" fontId="0" fillId="0" borderId="3" xfId="1" applyFont="1" applyBorder="1" applyAlignment="1">
      <alignment vertical="center"/>
    </xf>
    <xf numFmtId="43" fontId="0" fillId="0" borderId="4" xfId="1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5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43" fontId="0" fillId="0" borderId="0" xfId="1" applyFont="1" applyBorder="1" applyAlignment="1">
      <alignment vertical="center"/>
    </xf>
    <xf numFmtId="43" fontId="0" fillId="0" borderId="6" xfId="1" applyFont="1" applyBorder="1"/>
    <xf numFmtId="164" fontId="0" fillId="2" borderId="7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0" fontId="0" fillId="2" borderId="8" xfId="0" applyFill="1" applyBorder="1"/>
    <xf numFmtId="0" fontId="3" fillId="2" borderId="8" xfId="0" applyFont="1" applyFill="1" applyBorder="1"/>
    <xf numFmtId="43" fontId="0" fillId="2" borderId="8" xfId="1" applyFont="1" applyFill="1" applyBorder="1" applyAlignment="1">
      <alignment horizontal="right"/>
    </xf>
    <xf numFmtId="43" fontId="0" fillId="2" borderId="9" xfId="1" applyFont="1" applyFill="1" applyBorder="1"/>
    <xf numFmtId="43" fontId="0" fillId="0" borderId="0" xfId="1" applyFont="1" applyBorder="1"/>
    <xf numFmtId="164" fontId="0" fillId="0" borderId="5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3" fontId="0" fillId="0" borderId="6" xfId="1" applyFont="1" applyBorder="1" applyAlignment="1">
      <alignment vertical="center"/>
    </xf>
    <xf numFmtId="164" fontId="0" fillId="0" borderId="0" xfId="0" applyNumberFormat="1" applyAlignment="1">
      <alignment horizontal="center"/>
    </xf>
    <xf numFmtId="43" fontId="0" fillId="0" borderId="0" xfId="1" applyFont="1"/>
    <xf numFmtId="164" fontId="0" fillId="2" borderId="7" xfId="0" applyNumberFormat="1" applyFill="1" applyBorder="1" applyAlignment="1">
      <alignment horizontal="center" vertical="center"/>
    </xf>
    <xf numFmtId="165" fontId="0" fillId="2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43" fontId="0" fillId="2" borderId="8" xfId="1" applyFont="1" applyFill="1" applyBorder="1" applyAlignment="1">
      <alignment horizontal="right" vertical="center"/>
    </xf>
    <xf numFmtId="43" fontId="0" fillId="2" borderId="9" xfId="1" applyFont="1" applyFill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0" xfId="2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4" fontId="0" fillId="2" borderId="5" xfId="0" applyNumberFormat="1" applyFill="1" applyBorder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3" fillId="0" borderId="11" xfId="0" applyFont="1" applyBorder="1" applyAlignment="1">
      <alignment vertical="center"/>
    </xf>
    <xf numFmtId="43" fontId="0" fillId="0" borderId="11" xfId="1" applyFont="1" applyBorder="1" applyAlignment="1">
      <alignment vertical="center"/>
    </xf>
    <xf numFmtId="43" fontId="0" fillId="0" borderId="12" xfId="1" applyFont="1" applyBorder="1" applyAlignment="1">
      <alignment vertical="center"/>
    </xf>
    <xf numFmtId="164" fontId="0" fillId="0" borderId="13" xfId="0" applyNumberFormat="1" applyBorder="1" applyAlignment="1">
      <alignment horizontal="center" vertical="center"/>
    </xf>
    <xf numFmtId="43" fontId="0" fillId="0" borderId="14" xfId="1" applyFont="1" applyBorder="1" applyAlignment="1">
      <alignment vertical="center"/>
    </xf>
    <xf numFmtId="164" fontId="0" fillId="0" borderId="15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3" fillId="0" borderId="16" xfId="0" applyFont="1" applyBorder="1" applyAlignment="1">
      <alignment vertical="center"/>
    </xf>
    <xf numFmtId="0" fontId="0" fillId="0" borderId="16" xfId="0" applyBorder="1"/>
    <xf numFmtId="43" fontId="0" fillId="0" borderId="16" xfId="1" applyFont="1" applyBorder="1"/>
    <xf numFmtId="43" fontId="0" fillId="0" borderId="17" xfId="1" applyFont="1" applyBorder="1"/>
    <xf numFmtId="166" fontId="2" fillId="0" borderId="1" xfId="0" applyNumberFormat="1" applyFont="1" applyBorder="1" applyAlignment="1">
      <alignment horizontal="center" vertical="center"/>
    </xf>
    <xf numFmtId="166" fontId="0" fillId="0" borderId="3" xfId="0" applyNumberFormat="1" applyBorder="1" applyAlignment="1">
      <alignment vertical="center"/>
    </xf>
    <xf numFmtId="166" fontId="0" fillId="0" borderId="0" xfId="0" applyNumberFormat="1" applyAlignment="1">
      <alignment vertical="center"/>
    </xf>
    <xf numFmtId="166" fontId="0" fillId="2" borderId="8" xfId="0" applyNumberFormat="1" applyFill="1" applyBorder="1" applyAlignment="1">
      <alignment vertical="center"/>
    </xf>
    <xf numFmtId="166" fontId="0" fillId="2" borderId="8" xfId="0" applyNumberFormat="1" applyFill="1" applyBorder="1"/>
    <xf numFmtId="166" fontId="0" fillId="0" borderId="11" xfId="0" applyNumberFormat="1" applyBorder="1" applyAlignment="1">
      <alignment vertical="center"/>
    </xf>
    <xf numFmtId="166" fontId="0" fillId="0" borderId="16" xfId="0" applyNumberFormat="1" applyBorder="1" applyAlignment="1">
      <alignment vertical="center"/>
    </xf>
    <xf numFmtId="166" fontId="0" fillId="0" borderId="0" xfId="0" applyNumberFormat="1"/>
    <xf numFmtId="0" fontId="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6" fontId="0" fillId="0" borderId="0" xfId="0" applyNumberFormat="1" applyAlignment="1">
      <alignment horizontal="right" vertical="center"/>
    </xf>
    <xf numFmtId="43" fontId="0" fillId="0" borderId="0" xfId="1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vertical="center"/>
    </xf>
    <xf numFmtId="167" fontId="0" fillId="0" borderId="0" xfId="1" applyNumberFormat="1" applyFont="1" applyAlignment="1">
      <alignment vertical="center"/>
    </xf>
    <xf numFmtId="167" fontId="0" fillId="0" borderId="0" xfId="0" applyNumberFormat="1"/>
    <xf numFmtId="0" fontId="4" fillId="0" borderId="0" xfId="2" applyAlignment="1">
      <alignment vertical="center"/>
    </xf>
    <xf numFmtId="43" fontId="0" fillId="0" borderId="0" xfId="0" applyNumberFormat="1" applyAlignment="1">
      <alignment vertical="center"/>
    </xf>
    <xf numFmtId="43" fontId="3" fillId="0" borderId="0" xfId="1" applyFont="1" applyAlignment="1">
      <alignment vertical="center"/>
    </xf>
    <xf numFmtId="43" fontId="0" fillId="0" borderId="18" xfId="0" applyNumberFormat="1" applyBorder="1"/>
    <xf numFmtId="0" fontId="8" fillId="0" borderId="0" xfId="0" quotePrefix="1" applyFont="1" applyAlignment="1">
      <alignment horizontal="right"/>
    </xf>
    <xf numFmtId="43" fontId="7" fillId="0" borderId="19" xfId="0" applyNumberFormat="1" applyFont="1" applyBorder="1"/>
    <xf numFmtId="167" fontId="0" fillId="0" borderId="0" xfId="0" applyNumberFormat="1" applyAlignment="1">
      <alignment horizontal="right" vertical="center"/>
    </xf>
    <xf numFmtId="165" fontId="0" fillId="2" borderId="0" xfId="0" applyNumberFormat="1" applyFill="1" applyAlignment="1">
      <alignment horizontal="center"/>
    </xf>
    <xf numFmtId="165" fontId="0" fillId="2" borderId="6" xfId="0" applyNumberForma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42</xdr:row>
      <xdr:rowOff>61913</xdr:rowOff>
    </xdr:from>
    <xdr:to>
      <xdr:col>4</xdr:col>
      <xdr:colOff>1171613</xdr:colOff>
      <xdr:row>63</xdr:row>
      <xdr:rowOff>33363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37368-FD78-28F8-BB6A-B960B51DE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1263" y="10806113"/>
          <a:ext cx="5248313" cy="3390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3648;&#3607;&#3617;&#3611;&#3640;&#3619;&#3632;@Shibuya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7C92-40BC-435B-9B68-B27BE707423D}">
  <sheetPr>
    <pageSetUpPr fitToPage="1"/>
  </sheetPr>
  <dimension ref="A1:M43"/>
  <sheetViews>
    <sheetView tabSelected="1" workbookViewId="0">
      <selection activeCell="D25" sqref="D25"/>
    </sheetView>
  </sheetViews>
  <sheetFormatPr defaultRowHeight="15"/>
  <cols>
    <col min="1" max="1" width="12.42578125" style="28" customWidth="1"/>
    <col min="2" max="2" width="6.28515625" style="14" customWidth="1"/>
    <col min="3" max="3" width="15.140625" style="62" bestFit="1" customWidth="1"/>
    <col min="4" max="4" width="58" customWidth="1"/>
    <col min="5" max="5" width="18.42578125" customWidth="1"/>
    <col min="6" max="6" width="20.140625" bestFit="1" customWidth="1"/>
    <col min="7" max="7" width="16.7109375" style="29" customWidth="1"/>
    <col min="8" max="8" width="20.5703125" style="29" customWidth="1"/>
    <col min="10" max="10" width="17.42578125" customWidth="1"/>
    <col min="11" max="11" width="18.85546875" style="70" customWidth="1"/>
    <col min="12" max="12" width="17.5703125" customWidth="1"/>
  </cols>
  <sheetData>
    <row r="1" spans="1:13" s="5" customFormat="1" ht="19.5" thickBot="1">
      <c r="A1" s="1" t="s">
        <v>0</v>
      </c>
      <c r="B1" s="2"/>
      <c r="C1" s="55" t="s">
        <v>1</v>
      </c>
      <c r="D1" s="3" t="s">
        <v>2</v>
      </c>
      <c r="E1" s="3"/>
      <c r="F1" s="3" t="s">
        <v>3</v>
      </c>
      <c r="G1" s="4" t="s">
        <v>4</v>
      </c>
      <c r="H1" s="4" t="s">
        <v>5</v>
      </c>
      <c r="K1" s="67"/>
    </row>
    <row r="2" spans="1:13" s="12" customFormat="1" ht="25.5" customHeight="1">
      <c r="A2" s="6">
        <v>45311</v>
      </c>
      <c r="B2" s="7" t="s">
        <v>6</v>
      </c>
      <c r="C2" s="56" t="s">
        <v>7</v>
      </c>
      <c r="D2" s="9" t="s">
        <v>8</v>
      </c>
      <c r="E2" s="8" t="s">
        <v>9</v>
      </c>
      <c r="F2" s="8"/>
      <c r="G2" s="10"/>
      <c r="H2" s="11"/>
      <c r="K2" s="68"/>
    </row>
    <row r="3" spans="1:13" s="12" customFormat="1" ht="25.15" customHeight="1">
      <c r="A3" s="25"/>
      <c r="B3" s="26" t="s">
        <v>10</v>
      </c>
      <c r="C3" s="57"/>
      <c r="D3" s="38" t="s">
        <v>11</v>
      </c>
      <c r="E3" s="63" t="s">
        <v>12</v>
      </c>
      <c r="G3" s="16"/>
      <c r="H3" s="27"/>
      <c r="J3" s="12" t="s">
        <v>13</v>
      </c>
      <c r="K3" s="68"/>
    </row>
    <row r="4" spans="1:13" s="12" customFormat="1" ht="25.15" customHeight="1">
      <c r="A4" s="25"/>
      <c r="B4" s="26"/>
      <c r="C4" s="57"/>
      <c r="D4" s="38" t="s">
        <v>14</v>
      </c>
      <c r="E4" s="63"/>
      <c r="G4" s="16"/>
      <c r="H4" s="27"/>
      <c r="J4" s="12" t="s">
        <v>15</v>
      </c>
      <c r="K4" s="69"/>
      <c r="L4" s="66">
        <v>3961.26</v>
      </c>
    </row>
    <row r="5" spans="1:13" s="12" customFormat="1" ht="22.9" customHeight="1" thickBot="1">
      <c r="A5" s="30"/>
      <c r="B5" s="31"/>
      <c r="C5" s="58"/>
      <c r="D5" s="33" t="s">
        <v>16</v>
      </c>
      <c r="E5" s="32" t="s">
        <v>17</v>
      </c>
      <c r="F5" s="32" t="s">
        <v>18</v>
      </c>
      <c r="G5" s="34">
        <v>3867</v>
      </c>
      <c r="H5" s="35"/>
      <c r="J5" s="12" t="s">
        <v>19</v>
      </c>
      <c r="K5" s="69"/>
      <c r="L5" s="66">
        <v>23702</v>
      </c>
    </row>
    <row r="6" spans="1:13" s="12" customFormat="1" ht="23.25" customHeight="1">
      <c r="A6" s="6">
        <v>45312</v>
      </c>
      <c r="B6" s="7"/>
      <c r="C6" s="56"/>
      <c r="D6" s="36" t="s">
        <v>20</v>
      </c>
      <c r="E6" s="8"/>
      <c r="F6" s="8"/>
      <c r="G6" s="10"/>
      <c r="H6" s="11"/>
      <c r="J6" s="12" t="s">
        <v>21</v>
      </c>
      <c r="K6" s="69">
        <v>13365</v>
      </c>
      <c r="L6" s="66">
        <v>3312.47</v>
      </c>
      <c r="M6" s="72"/>
    </row>
    <row r="7" spans="1:13" s="12" customFormat="1" ht="30">
      <c r="A7" s="25"/>
      <c r="B7" s="26" t="s">
        <v>6</v>
      </c>
      <c r="C7" s="57" t="s">
        <v>22</v>
      </c>
      <c r="D7" s="39" t="s">
        <v>23</v>
      </c>
      <c r="E7" s="12" t="s">
        <v>24</v>
      </c>
      <c r="F7" s="64" t="s">
        <v>25</v>
      </c>
      <c r="G7" s="16" t="s">
        <v>77</v>
      </c>
      <c r="H7" s="27"/>
      <c r="J7" s="12" t="s">
        <v>26</v>
      </c>
      <c r="K7" s="68"/>
    </row>
    <row r="8" spans="1:13" ht="25.15" customHeight="1">
      <c r="A8" s="13"/>
      <c r="B8" s="14" t="s">
        <v>10</v>
      </c>
      <c r="C8" s="57" t="s">
        <v>27</v>
      </c>
      <c r="D8" s="38" t="s">
        <v>28</v>
      </c>
      <c r="E8" t="s">
        <v>29</v>
      </c>
      <c r="F8" t="s">
        <v>30</v>
      </c>
      <c r="G8" s="24"/>
      <c r="H8" s="17"/>
      <c r="J8" s="12" t="s">
        <v>31</v>
      </c>
      <c r="K8" s="70">
        <v>6138</v>
      </c>
      <c r="L8">
        <v>1475</v>
      </c>
    </row>
    <row r="9" spans="1:13" ht="25.15" customHeight="1">
      <c r="A9" s="13"/>
      <c r="C9" s="57"/>
      <c r="D9" s="38" t="s">
        <v>32</v>
      </c>
      <c r="G9" s="24"/>
      <c r="H9" s="17"/>
      <c r="J9" s="71" t="s">
        <v>33</v>
      </c>
      <c r="K9" s="70">
        <v>2000</v>
      </c>
      <c r="L9">
        <v>480</v>
      </c>
    </row>
    <row r="10" spans="1:13" ht="25.15" customHeight="1">
      <c r="A10" s="13"/>
      <c r="C10" s="57"/>
      <c r="D10" s="38" t="s">
        <v>34</v>
      </c>
      <c r="G10" s="24"/>
      <c r="H10" s="17"/>
      <c r="K10" s="75" t="s">
        <v>35</v>
      </c>
      <c r="L10" s="74">
        <f>SUM(L4:L9)</f>
        <v>32930.730000000003</v>
      </c>
    </row>
    <row r="11" spans="1:13" s="12" customFormat="1" ht="22.15" customHeight="1" thickTop="1" thickBot="1">
      <c r="A11" s="30"/>
      <c r="B11" s="31"/>
      <c r="C11" s="58"/>
      <c r="D11" s="33" t="s">
        <v>36</v>
      </c>
      <c r="E11" s="32" t="s">
        <v>17</v>
      </c>
      <c r="F11" s="32" t="s">
        <v>37</v>
      </c>
      <c r="G11" s="34" t="s">
        <v>38</v>
      </c>
      <c r="H11" s="35"/>
      <c r="K11" s="68"/>
      <c r="L11" s="73"/>
    </row>
    <row r="12" spans="1:13" s="12" customFormat="1" ht="25.15" customHeight="1">
      <c r="A12" s="6">
        <v>45313</v>
      </c>
      <c r="B12" s="7"/>
      <c r="C12" s="56"/>
      <c r="D12" s="9" t="s">
        <v>37</v>
      </c>
      <c r="E12" s="8"/>
      <c r="F12" s="8"/>
      <c r="G12" s="10"/>
      <c r="H12" s="11"/>
      <c r="K12" s="68"/>
    </row>
    <row r="13" spans="1:13" s="12" customFormat="1" ht="25.15" customHeight="1">
      <c r="A13" s="25"/>
      <c r="B13" s="26" t="s">
        <v>6</v>
      </c>
      <c r="C13" s="57"/>
      <c r="D13" s="38" t="s">
        <v>39</v>
      </c>
      <c r="G13" s="16"/>
      <c r="H13" s="27"/>
      <c r="K13" s="68" t="s">
        <v>40</v>
      </c>
      <c r="L13" s="73">
        <v>16000</v>
      </c>
    </row>
    <row r="14" spans="1:13" s="12" customFormat="1" ht="22.15" customHeight="1">
      <c r="A14" s="25"/>
      <c r="B14" s="26" t="s">
        <v>41</v>
      </c>
      <c r="C14" s="57"/>
      <c r="D14" s="38" t="s">
        <v>42</v>
      </c>
      <c r="G14" s="16"/>
      <c r="H14" s="27"/>
      <c r="K14" s="68"/>
    </row>
    <row r="15" spans="1:13" s="12" customFormat="1" ht="22.15" customHeight="1">
      <c r="A15" s="25"/>
      <c r="B15" s="26"/>
      <c r="C15" s="57"/>
      <c r="D15" s="38" t="s">
        <v>34</v>
      </c>
      <c r="G15" s="16"/>
      <c r="H15" s="27"/>
      <c r="J15" s="12" t="s">
        <v>43</v>
      </c>
      <c r="K15" s="69">
        <v>25600</v>
      </c>
      <c r="L15" s="66">
        <f>K15*24/100</f>
        <v>6144</v>
      </c>
    </row>
    <row r="16" spans="1:13" s="12" customFormat="1" ht="19.899999999999999" customHeight="1" thickBot="1">
      <c r="A16" s="30"/>
      <c r="B16" s="31"/>
      <c r="C16" s="58"/>
      <c r="D16" s="33" t="s">
        <v>36</v>
      </c>
      <c r="E16" s="32" t="s">
        <v>17</v>
      </c>
      <c r="F16" s="32" t="s">
        <v>37</v>
      </c>
      <c r="G16" s="34"/>
      <c r="H16" s="35"/>
      <c r="J16" s="12" t="s">
        <v>44</v>
      </c>
      <c r="K16" s="69">
        <v>600</v>
      </c>
      <c r="L16" s="66">
        <f>K16*24/100</f>
        <v>144</v>
      </c>
    </row>
    <row r="17" spans="1:12" s="12" customFormat="1" ht="25.15" customHeight="1">
      <c r="A17" s="6">
        <v>45314</v>
      </c>
      <c r="B17" s="7"/>
      <c r="C17" s="56"/>
      <c r="D17" s="9" t="s">
        <v>45</v>
      </c>
      <c r="E17" s="8"/>
      <c r="F17" s="8"/>
      <c r="G17" s="10"/>
      <c r="H17" s="11"/>
      <c r="J17" s="12" t="s">
        <v>46</v>
      </c>
      <c r="K17" s="68"/>
      <c r="L17" s="66">
        <v>9662.75</v>
      </c>
    </row>
    <row r="18" spans="1:12" s="12" customFormat="1" ht="25.15" customHeight="1">
      <c r="A18" s="25"/>
      <c r="B18" s="26" t="s">
        <v>6</v>
      </c>
      <c r="C18" s="57"/>
      <c r="D18" s="38" t="s">
        <v>47</v>
      </c>
      <c r="G18" s="16"/>
      <c r="H18" s="27"/>
      <c r="J18" s="12" t="s">
        <v>15</v>
      </c>
      <c r="K18" s="68"/>
      <c r="L18" s="66">
        <v>5765.81</v>
      </c>
    </row>
    <row r="19" spans="1:12" ht="25.15" customHeight="1">
      <c r="A19" s="13"/>
      <c r="B19" s="14" t="s">
        <v>10</v>
      </c>
      <c r="C19" s="57"/>
      <c r="D19" t="s">
        <v>48</v>
      </c>
      <c r="G19" s="24"/>
      <c r="H19" s="17"/>
      <c r="J19" t="s">
        <v>49</v>
      </c>
      <c r="K19" s="69">
        <v>7720</v>
      </c>
      <c r="L19" s="66">
        <f t="shared" ref="L19:L21" si="0">K19*24/100</f>
        <v>1852.8</v>
      </c>
    </row>
    <row r="20" spans="1:12" s="12" customFormat="1" ht="19.149999999999999" customHeight="1">
      <c r="A20" s="30"/>
      <c r="B20" s="31"/>
      <c r="C20" s="58"/>
      <c r="D20" s="33" t="s">
        <v>50</v>
      </c>
      <c r="E20" s="32"/>
      <c r="F20" s="32" t="s">
        <v>31</v>
      </c>
      <c r="G20" s="34" t="s">
        <v>51</v>
      </c>
      <c r="H20" s="35"/>
      <c r="J20" s="12" t="s">
        <v>52</v>
      </c>
      <c r="K20" s="69">
        <v>2740</v>
      </c>
      <c r="L20" s="66">
        <f t="shared" si="0"/>
        <v>657.6</v>
      </c>
    </row>
    <row r="21" spans="1:12" s="12" customFormat="1" ht="25.15" customHeight="1">
      <c r="A21" s="6">
        <v>45315</v>
      </c>
      <c r="B21" s="7"/>
      <c r="C21" s="56"/>
      <c r="D21" s="9" t="s">
        <v>53</v>
      </c>
      <c r="E21" s="8"/>
      <c r="F21" s="8"/>
      <c r="G21" s="10"/>
      <c r="H21" s="11"/>
      <c r="J21" s="12" t="s">
        <v>54</v>
      </c>
      <c r="K21" s="69">
        <v>7600</v>
      </c>
      <c r="L21" s="66">
        <f t="shared" si="0"/>
        <v>1824</v>
      </c>
    </row>
    <row r="22" spans="1:12" s="12" customFormat="1" ht="25.15" customHeight="1">
      <c r="A22" s="25"/>
      <c r="B22" s="26" t="s">
        <v>6</v>
      </c>
      <c r="C22" s="57"/>
      <c r="D22" s="38" t="s">
        <v>55</v>
      </c>
      <c r="G22" s="16"/>
      <c r="H22" s="27"/>
      <c r="K22" s="75" t="s">
        <v>56</v>
      </c>
      <c r="L22" s="74">
        <f>SUM(L15:L21)</f>
        <v>26050.959999999999</v>
      </c>
    </row>
    <row r="23" spans="1:12" s="12" customFormat="1" ht="25.15" customHeight="1">
      <c r="A23" s="25"/>
      <c r="B23" s="14" t="s">
        <v>10</v>
      </c>
      <c r="C23" s="57"/>
      <c r="D23" s="38" t="s">
        <v>57</v>
      </c>
      <c r="G23" s="16"/>
      <c r="H23" s="27"/>
      <c r="J23"/>
      <c r="K23" s="75" t="s">
        <v>58</v>
      </c>
      <c r="L23" s="76">
        <f>L10+L22</f>
        <v>58981.69</v>
      </c>
    </row>
    <row r="24" spans="1:12" ht="25.15" customHeight="1">
      <c r="A24" s="13"/>
      <c r="B24" s="14" t="s">
        <v>41</v>
      </c>
      <c r="C24" s="57"/>
      <c r="D24" s="38" t="s">
        <v>59</v>
      </c>
      <c r="E24" s="38"/>
      <c r="G24" s="24"/>
      <c r="H24" s="17"/>
      <c r="K24" s="75" t="s">
        <v>60</v>
      </c>
      <c r="L24" s="76">
        <f>L23/2</f>
        <v>29490.845000000001</v>
      </c>
    </row>
    <row r="25" spans="1:12" ht="22.5" customHeight="1">
      <c r="A25" s="18"/>
      <c r="B25" s="19"/>
      <c r="C25" s="59"/>
      <c r="D25" s="21" t="s">
        <v>61</v>
      </c>
      <c r="E25" s="20"/>
      <c r="F25" s="20" t="s">
        <v>62</v>
      </c>
      <c r="G25" s="22" t="s">
        <v>63</v>
      </c>
      <c r="H25" s="23"/>
      <c r="J25" s="12"/>
      <c r="K25" s="77" t="s">
        <v>64</v>
      </c>
      <c r="L25" s="76">
        <f>L24-L22</f>
        <v>3439.885000000002</v>
      </c>
    </row>
    <row r="26" spans="1:12" s="12" customFormat="1" ht="25.15" customHeight="1">
      <c r="A26" s="6">
        <v>45316</v>
      </c>
      <c r="B26" s="7"/>
      <c r="C26" s="56"/>
      <c r="D26" s="9" t="s">
        <v>65</v>
      </c>
      <c r="E26" s="8" t="s">
        <v>66</v>
      </c>
      <c r="F26" s="8"/>
      <c r="G26" s="10"/>
      <c r="H26" s="11"/>
      <c r="K26" s="68"/>
    </row>
    <row r="27" spans="1:12" s="12" customFormat="1" ht="25.15" customHeight="1">
      <c r="A27" s="25"/>
      <c r="B27" s="26" t="s">
        <v>6</v>
      </c>
      <c r="C27" s="57">
        <v>0.375</v>
      </c>
      <c r="D27" s="38" t="s">
        <v>67</v>
      </c>
      <c r="G27" s="16"/>
      <c r="H27" s="27"/>
      <c r="K27" s="68"/>
    </row>
    <row r="28" spans="1:12" s="12" customFormat="1" ht="25.15" customHeight="1">
      <c r="A28" s="25"/>
      <c r="B28" s="26" t="s">
        <v>10</v>
      </c>
      <c r="C28" s="65" t="s">
        <v>68</v>
      </c>
      <c r="D28" s="38" t="s">
        <v>69</v>
      </c>
      <c r="G28" s="16"/>
      <c r="H28" s="27"/>
      <c r="J28"/>
      <c r="K28" s="70"/>
      <c r="L28"/>
    </row>
    <row r="29" spans="1:12" ht="25.15" customHeight="1">
      <c r="A29" s="13"/>
      <c r="B29" s="14" t="s">
        <v>41</v>
      </c>
      <c r="C29" s="57">
        <v>0.625</v>
      </c>
      <c r="D29" s="38" t="s">
        <v>70</v>
      </c>
      <c r="G29" s="24"/>
      <c r="H29" s="17"/>
    </row>
    <row r="30" spans="1:12" ht="26.65" customHeight="1">
      <c r="A30" s="18"/>
      <c r="B30" s="19"/>
      <c r="C30" s="59"/>
      <c r="D30" s="21" t="s">
        <v>71</v>
      </c>
      <c r="E30" s="20"/>
      <c r="F30" s="20" t="s">
        <v>72</v>
      </c>
      <c r="G30" s="22"/>
      <c r="H30" s="23"/>
      <c r="J30" s="12"/>
      <c r="K30" s="68"/>
      <c r="L30" s="12"/>
    </row>
    <row r="31" spans="1:12" s="12" customFormat="1" ht="25.15" customHeight="1">
      <c r="A31" s="6">
        <v>45317</v>
      </c>
      <c r="B31" s="7"/>
      <c r="C31" s="56"/>
      <c r="D31" s="9"/>
      <c r="E31" s="8"/>
      <c r="F31" s="8"/>
      <c r="G31" s="10"/>
      <c r="H31" s="11"/>
      <c r="K31" s="68"/>
    </row>
    <row r="32" spans="1:12" s="12" customFormat="1" ht="25.15" customHeight="1">
      <c r="A32" s="25"/>
      <c r="B32" s="26" t="s">
        <v>6</v>
      </c>
      <c r="C32" s="57"/>
      <c r="D32" s="15"/>
      <c r="G32" s="16"/>
      <c r="H32" s="27"/>
      <c r="J32"/>
      <c r="K32" s="70"/>
      <c r="L32"/>
    </row>
    <row r="33" spans="1:12" ht="25.15" customHeight="1">
      <c r="A33" s="13"/>
      <c r="B33" s="14" t="s">
        <v>10</v>
      </c>
      <c r="C33" s="57"/>
      <c r="D33" s="15"/>
      <c r="G33" s="24"/>
      <c r="H33" s="17"/>
    </row>
    <row r="34" spans="1:12" ht="22.9" customHeight="1">
      <c r="A34" s="18"/>
      <c r="B34" s="19"/>
      <c r="C34" s="59"/>
      <c r="D34" s="21"/>
      <c r="E34" s="20"/>
      <c r="F34" s="20" t="s">
        <v>18</v>
      </c>
      <c r="G34" s="22"/>
      <c r="H34" s="23"/>
      <c r="J34" s="12"/>
      <c r="K34" s="68"/>
      <c r="L34" s="12"/>
    </row>
    <row r="35" spans="1:12" s="12" customFormat="1" ht="25.15" customHeight="1">
      <c r="A35" s="6">
        <v>45318</v>
      </c>
      <c r="B35" s="7"/>
      <c r="C35" s="56"/>
      <c r="D35" s="9"/>
      <c r="E35" s="8"/>
      <c r="F35" s="8"/>
      <c r="G35" s="10"/>
      <c r="H35" s="11"/>
      <c r="K35" s="68"/>
    </row>
    <row r="36" spans="1:12" s="12" customFormat="1" ht="25.15" customHeight="1">
      <c r="A36" s="25"/>
      <c r="B36" s="26" t="s">
        <v>6</v>
      </c>
      <c r="C36" s="57"/>
      <c r="D36" s="15"/>
      <c r="G36" s="16"/>
      <c r="H36" s="27"/>
      <c r="J36"/>
      <c r="K36" s="70"/>
      <c r="L36"/>
    </row>
    <row r="37" spans="1:12" ht="25.15" customHeight="1">
      <c r="A37" s="13"/>
      <c r="B37" s="14" t="s">
        <v>10</v>
      </c>
      <c r="C37" s="57"/>
      <c r="D37" s="15"/>
      <c r="G37" s="24"/>
      <c r="H37" s="17"/>
    </row>
    <row r="38" spans="1:12" ht="21.75" customHeight="1">
      <c r="A38" s="40"/>
      <c r="B38" s="78" t="s">
        <v>73</v>
      </c>
      <c r="C38" s="78"/>
      <c r="D38" s="78"/>
      <c r="E38" s="78"/>
      <c r="F38" s="78"/>
      <c r="G38" s="78"/>
      <c r="H38" s="79"/>
      <c r="J38" s="12"/>
      <c r="K38" s="68"/>
      <c r="L38" s="12"/>
    </row>
    <row r="39" spans="1:12" s="12" customFormat="1" ht="25.15" customHeight="1">
      <c r="A39" s="41">
        <v>45319</v>
      </c>
      <c r="B39" s="42"/>
      <c r="C39" s="60" t="s">
        <v>74</v>
      </c>
      <c r="D39" s="44" t="s">
        <v>75</v>
      </c>
      <c r="E39" s="43" t="s">
        <v>76</v>
      </c>
      <c r="F39" s="43"/>
      <c r="G39" s="45"/>
      <c r="H39" s="46"/>
      <c r="K39" s="68"/>
    </row>
    <row r="40" spans="1:12" s="12" customFormat="1" ht="25.15" customHeight="1">
      <c r="A40" s="47"/>
      <c r="B40" s="26"/>
      <c r="C40" s="57"/>
      <c r="D40" s="15"/>
      <c r="G40" s="16"/>
      <c r="H40" s="48"/>
      <c r="J40"/>
      <c r="K40" s="70"/>
      <c r="L40"/>
    </row>
    <row r="41" spans="1:12" ht="25.15" customHeight="1">
      <c r="A41" s="49"/>
      <c r="B41" s="50"/>
      <c r="C41" s="61"/>
      <c r="D41" s="51"/>
      <c r="E41" s="52"/>
      <c r="F41" s="52"/>
      <c r="G41" s="53"/>
      <c r="H41" s="54"/>
    </row>
    <row r="43" spans="1:12">
      <c r="D43" s="37"/>
    </row>
  </sheetData>
  <mergeCells count="1">
    <mergeCell ref="B38:H38"/>
  </mergeCells>
  <hyperlinks>
    <hyperlink ref="J9" r:id="rId1" xr:uid="{3E1D9A91-D5EE-415A-AFEF-AAD441A13CE0}"/>
  </hyperlinks>
  <pageMargins left="0.7" right="0.7" top="0.75" bottom="0.75" header="0.3" footer="0.3"/>
  <pageSetup paperSize="9" scale="52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NIM Singthongtruck</dc:creator>
  <cp:keywords/>
  <dc:description/>
  <cp:lastModifiedBy>NIM Singthongtruck</cp:lastModifiedBy>
  <cp:revision/>
  <dcterms:created xsi:type="dcterms:W3CDTF">2023-05-17T03:01:01Z</dcterms:created>
  <dcterms:modified xsi:type="dcterms:W3CDTF">2024-05-02T06:16:46Z</dcterms:modified>
  <cp:category/>
  <cp:contentStatus/>
</cp:coreProperties>
</file>